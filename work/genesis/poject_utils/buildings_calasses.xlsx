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itRepositories\_Dislocation\genesis\work\genesis\poject_utils\"/>
    </mc:Choice>
  </mc:AlternateContent>
  <xr:revisionPtr revIDLastSave="0" documentId="13_ncr:1_{7BB58511-5F2A-49EC-A992-F8974B94522A}" xr6:coauthVersionLast="36" xr6:coauthVersionMax="36" xr10:uidLastSave="{00000000-0000-0000-0000-000000000000}"/>
  <bookViews>
    <workbookView xWindow="0" yWindow="0" windowWidth="21600" windowHeight="9525" xr2:uid="{CB8FEEF7-629E-4D8C-A01B-5FB475D62107}"/>
  </bookViews>
  <sheets>
    <sheet name="Классификация" sheetId="1" r:id="rId1"/>
    <sheet name="Веса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C2" i="1" l="1"/>
  <c r="C16" i="1"/>
  <c r="C3" i="1"/>
  <c r="C4" i="1"/>
  <c r="C5" i="1"/>
  <c r="C6" i="1"/>
  <c r="C7" i="1"/>
  <c r="C8" i="1"/>
  <c r="C9" i="1"/>
  <c r="C10" i="1"/>
  <c r="C11" i="1"/>
  <c r="C12" i="1"/>
  <c r="C13" i="1"/>
  <c r="C15" i="1"/>
  <c r="C17" i="1"/>
  <c r="C19" i="1"/>
  <c r="C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<sst xmlns="http://schemas.openxmlformats.org/spreadsheetml/2006/main" count="92" uniqueCount="74">
  <si>
    <t>Здание</t>
  </si>
  <si>
    <t>Класс</t>
  </si>
  <si>
    <t>Спрос</t>
  </si>
  <si>
    <t>КФПО</t>
  </si>
  <si>
    <t>Теоретическая частота возникновения пожаров, пож/год</t>
  </si>
  <si>
    <t>Оценочный коэффициент последствий от пожаров</t>
  </si>
  <si>
    <t>Спрос на услуги пожарной охраны</t>
  </si>
  <si>
    <t>Ф1.1</t>
  </si>
  <si>
    <t>Ф1.2</t>
  </si>
  <si>
    <t>Ф1.3</t>
  </si>
  <si>
    <t>Ф1.4</t>
  </si>
  <si>
    <t>Ф1.5</t>
  </si>
  <si>
    <t>Ф2.1</t>
  </si>
  <si>
    <t>Ф2.2</t>
  </si>
  <si>
    <t>Ф2.3</t>
  </si>
  <si>
    <t>Ф2.4</t>
  </si>
  <si>
    <t>Ф3.1</t>
  </si>
  <si>
    <t>Ф3.2</t>
  </si>
  <si>
    <t>Ф3.3</t>
  </si>
  <si>
    <t>Ф3.4</t>
  </si>
  <si>
    <t>Ф3.5</t>
  </si>
  <si>
    <t>Ф3.6</t>
  </si>
  <si>
    <t>Ф3.7</t>
  </si>
  <si>
    <t>Ф4.1</t>
  </si>
  <si>
    <t>Ф4.2</t>
  </si>
  <si>
    <t>Ф4.3</t>
  </si>
  <si>
    <t>Ф4.4</t>
  </si>
  <si>
    <t>Ф5.1</t>
  </si>
  <si>
    <t>Ф5.2</t>
  </si>
  <si>
    <t>Ф5.3</t>
  </si>
  <si>
    <t>Ф0</t>
  </si>
  <si>
    <t>Многоквартирный жилой дом</t>
  </si>
  <si>
    <t>Торговое здание</t>
  </si>
  <si>
    <t>Общественное здание</t>
  </si>
  <si>
    <t>Церковь</t>
  </si>
  <si>
    <t>Детский сад</t>
  </si>
  <si>
    <t>Школа</t>
  </si>
  <si>
    <t>Производственное здание</t>
  </si>
  <si>
    <t>Спортивное сооружение</t>
  </si>
  <si>
    <t>Больница</t>
  </si>
  <si>
    <t>Административное здание</t>
  </si>
  <si>
    <t>Гараж</t>
  </si>
  <si>
    <t>Служебная постройка</t>
  </si>
  <si>
    <t>неизвестно</t>
  </si>
  <si>
    <t>Жилой дом</t>
  </si>
  <si>
    <t>Дача</t>
  </si>
  <si>
    <t>ЖД Вокзал</t>
  </si>
  <si>
    <t>Строительство</t>
  </si>
  <si>
    <t>Конюшня</t>
  </si>
  <si>
    <t>Ф1.1 - зд. дошк. образ. орг., спец. домов прест. и инв. (некварт.), б-цы, спальн. корп. обр. орг. с налич. инт.</t>
  </si>
  <si>
    <t>Ф1.2 - гостиницы, общеж., спальн. корп. санаториев и домов отд. общего типа, кемпингов, мотелей и пансионатов</t>
  </si>
  <si>
    <t>Ф1.3 - многоквартирные жилые дома</t>
  </si>
  <si>
    <t>Ф1.4 - однокварт. жилые дома, в том числе блокированные</t>
  </si>
  <si>
    <t>Ф1.5 - дачные домики, не предназначенные для постоянного проживания</t>
  </si>
  <si>
    <t>Ф2.1 - театры, кинот., конц. залы, клубы, цирки, спорт. соор. с триб., библ. с расч. числ. мест в закр. помещ.</t>
  </si>
  <si>
    <t>Ф2.2 - музеи, выставки, танц. залы и др. подобные учрежд. в закрытых помещениях</t>
  </si>
  <si>
    <t>Ф2.3 - театры, кинот., конц. залы, клубы, цирки, спорт. соор. с триб., библ. с расч. числ. мест на откр. воздухе</t>
  </si>
  <si>
    <t>Ф2.4 - музеи, выставки, танц. залы и др. подобные учрежд. на открытом воздухе</t>
  </si>
  <si>
    <t>Ф3.1 - здания организаций торговли</t>
  </si>
  <si>
    <t>Ф3.2 - здания организаций общественного питания</t>
  </si>
  <si>
    <t>Ф3.3 - вокзалы</t>
  </si>
  <si>
    <t>Ф3.4 - поликлиники и амбулатории</t>
  </si>
  <si>
    <t>Ф3.5 - помещ. для посетителей организ. бытов. и коммун. обсл. с нерасч. числом посад. мест для посетителей</t>
  </si>
  <si>
    <t>Ф3.6 - физкульт.-оздор. компл. и спорт.-тренир. учр. с помещ. без трибун для зрит., быт. помещ., бани</t>
  </si>
  <si>
    <t>Ф3.7 - объекты религиозного назначения</t>
  </si>
  <si>
    <t>Ф4.1 - здания общеобр. орг-ций, орг-ций доп. образов. детей, проф. образ. орг-ций</t>
  </si>
  <si>
    <t>Ф4.2 - здания образов. орг-ций высш. образов., орг-ций дополнит. проф. образования</t>
  </si>
  <si>
    <t>Ф4.3 - здания орг. управ., проект.-конст. орг., информ. и редакц.-изд. орг.,научн. орг., банков, контор, офисов</t>
  </si>
  <si>
    <t>Ф4.4 - здания пожарных депо</t>
  </si>
  <si>
    <t>Ф5.1 - производств. здания, сооруж., производств. и лаборат. помещения, мастерские</t>
  </si>
  <si>
    <t>Ф5.2 - складские здания, сооруж., стоянки для автомоб. без тех. обсл. и рем-та, книгохр., архивы, склад. помещ.</t>
  </si>
  <si>
    <t>Ф5.3 - здания сельскохозяйственного назначения</t>
  </si>
  <si>
    <t>Отсутствует/не известно</t>
  </si>
  <si>
    <t>Описание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</si>
</sst>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0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justify" vertical="center" wrapText="1"/>
    </xf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0" fontId="4" fillId="0" borderId="1" xfId="1" applyBorder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6" fontId="0" fillId="0" borderId="0" xfId="0" applyNumberFormat="1"/>
    <xf numFmtId="0" fontId="4" fillId="2" borderId="1" xfId="1" applyFill="1" applyBorder="1"/>
    <xf numFmtId="0" fontId="3" fillId="2" borderId="1" xfId="0" applyFont="1" applyFill="1" applyBorder="1" applyAlignment="1">
      <alignment horizontal="justify" vertical="center" wrapText="1"/>
    </xf>
    <xf numFmtId="0" fontId="4" fillId="3" borderId="1" xfId="1" applyFill="1" applyBorder="1"/>
    <xf numFmtId="0" fontId="1" fillId="0" borderId="0" xfId="0" applyFont="1" applyAlignment="1">
      <alignment horizontal="center" vertical="center"/>
    </xf>
  </cellXfs>
  <cellStyles count="2">
    <cellStyle name="Обычный" xfId="0" builtinId="0"/>
    <cellStyle name="Обычный 2" xfId="1" xr:uid="{7DF31B45-A050-40B4-82BF-21DECF47B9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23EB-BCCA-48DE-B665-C08941EE8FC4}">
  <dimension ref="A1:C19"/>
  <sheetViews>
    <sheetView tabSelected="1" workbookViewId="0">
      <selection activeCell="C18" sqref="C18"/>
    </sheetView>
  </sheetViews>
  <sheetFormatPr defaultRowHeight="15" x14ac:dyDescent="0.25"/>
  <cols>
    <col min="1" max="1" width="50.42578125" customWidth="1"/>
    <col min="2" max="2" width="25.28515625" customWidth="1"/>
    <col min="3" max="3" width="48.85546875" customWidth="1"/>
  </cols>
  <sheetData>
    <row r="1" spans="1:3" x14ac:dyDescent="0.25">
      <c r="A1" s="13" t="s">
        <v>0</v>
      </c>
      <c r="B1" s="13" t="s">
        <v>1</v>
      </c>
      <c r="C1" s="13" t="s">
        <v>2</v>
      </c>
    </row>
    <row r="2" spans="1:3" x14ac:dyDescent="0.25">
      <c r="A2" t="s">
        <v>31</v>
      </c>
      <c r="B2" t="s">
        <v>9</v>
      </c>
      <c r="C2" s="9">
        <f>VLOOKUP(B2,Веса!A$2:D$25,4)</f>
        <v>1.4151596471194702E-2</v>
      </c>
    </row>
    <row r="3" spans="1:3" x14ac:dyDescent="0.25">
      <c r="A3" t="s">
        <v>32</v>
      </c>
      <c r="B3" t="s">
        <v>16</v>
      </c>
      <c r="C3" s="9">
        <f>VLOOKUP(B3,Веса!A$2:D$25,4)</f>
        <v>3.7255037122983755E-3</v>
      </c>
    </row>
    <row r="4" spans="1:3" x14ac:dyDescent="0.25">
      <c r="A4" t="s">
        <v>33</v>
      </c>
      <c r="B4" t="s">
        <v>20</v>
      </c>
      <c r="C4" s="9">
        <f>VLOOKUP(B4,Веса!A$2:D$25,4)</f>
        <v>2.4773594046259141E-3</v>
      </c>
    </row>
    <row r="5" spans="1:3" x14ac:dyDescent="0.25">
      <c r="A5" t="s">
        <v>34</v>
      </c>
      <c r="B5" t="s">
        <v>22</v>
      </c>
      <c r="C5" s="9">
        <f>VLOOKUP(B5,Веса!A$2:D$25,4)</f>
        <v>4.8905152409664627E-3</v>
      </c>
    </row>
    <row r="6" spans="1:3" x14ac:dyDescent="0.25">
      <c r="A6" t="s">
        <v>35</v>
      </c>
      <c r="B6" t="s">
        <v>7</v>
      </c>
      <c r="C6" s="9">
        <f>VLOOKUP(B6,Веса!A$2:D$25,4)</f>
        <v>9.9446452117383909E-3</v>
      </c>
    </row>
    <row r="7" spans="1:3" x14ac:dyDescent="0.25">
      <c r="A7" t="s">
        <v>36</v>
      </c>
      <c r="B7" t="s">
        <v>23</v>
      </c>
      <c r="C7" s="9">
        <f>VLOOKUP(B7,Веса!A$2:D$25,4)</f>
        <v>4.5290036177112036E-3</v>
      </c>
    </row>
    <row r="8" spans="1:3" x14ac:dyDescent="0.25">
      <c r="A8" t="s">
        <v>37</v>
      </c>
      <c r="B8" t="s">
        <v>27</v>
      </c>
      <c r="C8" s="9">
        <f>VLOOKUP(B8,Веса!A$2:D$25,4)</f>
        <v>1.0532575112780199E-3</v>
      </c>
    </row>
    <row r="9" spans="1:3" x14ac:dyDescent="0.25">
      <c r="A9" t="s">
        <v>38</v>
      </c>
      <c r="B9" t="s">
        <v>21</v>
      </c>
      <c r="C9" s="9">
        <f>VLOOKUP(B9,Веса!A$2:D$25,4)</f>
        <v>4.590039068206664E-3</v>
      </c>
    </row>
    <row r="10" spans="1:3" x14ac:dyDescent="0.25">
      <c r="A10" t="s">
        <v>39</v>
      </c>
      <c r="B10" t="s">
        <v>7</v>
      </c>
      <c r="C10" s="9">
        <f>VLOOKUP(B10,Веса!A$2:D$25,4)</f>
        <v>9.9446452117383909E-3</v>
      </c>
    </row>
    <row r="11" spans="1:3" x14ac:dyDescent="0.25">
      <c r="A11" t="s">
        <v>40</v>
      </c>
      <c r="B11" t="s">
        <v>25</v>
      </c>
      <c r="C11" s="9">
        <f>VLOOKUP(B11,Веса!A$2:D$25,4)</f>
        <v>1.0862380862243083E-3</v>
      </c>
    </row>
    <row r="12" spans="1:3" x14ac:dyDescent="0.25">
      <c r="A12" t="s">
        <v>41</v>
      </c>
      <c r="B12" t="s">
        <v>28</v>
      </c>
      <c r="C12" s="9">
        <f>VLOOKUP(B12,Веса!A$2:D$25,4)</f>
        <v>2.3218228908451497E-3</v>
      </c>
    </row>
    <row r="13" spans="1:3" x14ac:dyDescent="0.25">
      <c r="A13" t="s">
        <v>42</v>
      </c>
      <c r="B13" t="s">
        <v>28</v>
      </c>
      <c r="C13" s="9">
        <f>VLOOKUP(B13,Веса!A$2:D$25,4)</f>
        <v>2.3218228908451497E-3</v>
      </c>
    </row>
    <row r="14" spans="1:3" x14ac:dyDescent="0.25">
      <c r="A14" t="s">
        <v>43</v>
      </c>
      <c r="B14" t="s">
        <v>30</v>
      </c>
      <c r="C14" s="9">
        <v>3.1E-4</v>
      </c>
    </row>
    <row r="15" spans="1:3" x14ac:dyDescent="0.25">
      <c r="A15" t="s">
        <v>44</v>
      </c>
      <c r="B15" t="s">
        <v>10</v>
      </c>
      <c r="C15" s="9">
        <f>VLOOKUP(B15,Веса!A$2:D$25,4)</f>
        <v>1.2555875909676683E-3</v>
      </c>
    </row>
    <row r="16" spans="1:3" x14ac:dyDescent="0.25">
      <c r="A16" t="s">
        <v>45</v>
      </c>
      <c r="B16" t="s">
        <v>11</v>
      </c>
      <c r="C16" s="9">
        <f>VLOOKUP(B16,Веса!A$2:D$25,4)</f>
        <v>3.3254813017605256E-5</v>
      </c>
    </row>
    <row r="17" spans="1:3" x14ac:dyDescent="0.25">
      <c r="A17" t="s">
        <v>46</v>
      </c>
      <c r="B17" t="s">
        <v>18</v>
      </c>
      <c r="C17" s="9">
        <f>VLOOKUP(B17,Веса!A$2:D$25,4)</f>
        <v>4.2632259268085828E-3</v>
      </c>
    </row>
    <row r="18" spans="1:3" x14ac:dyDescent="0.25">
      <c r="A18" t="s">
        <v>47</v>
      </c>
      <c r="B18" t="s">
        <v>30</v>
      </c>
      <c r="C18" s="9">
        <v>3.1E-4</v>
      </c>
    </row>
    <row r="19" spans="1:3" x14ac:dyDescent="0.25">
      <c r="A19" t="s">
        <v>48</v>
      </c>
      <c r="B19" t="s">
        <v>29</v>
      </c>
      <c r="C19" s="9">
        <f>VLOOKUP(B19,Веса!A$2:D$25,4)</f>
        <v>1.6621669814079632E-3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0F57A0-0C86-468B-B955-58E3A19BD081}">
          <x14:formula1>
            <xm:f>Веса!$A$2:$A$25</xm:f>
          </x14:formula1>
          <xm:sqref>B2:B19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D1B4A-5E09-4DDE-B3B0-9655B572E840}">
  <dimension ref="A1:E25"/>
  <sheetViews>
    <sheetView workbookViewId="0">
      <selection activeCell="D25" sqref="D25"/>
    </sheetView>
  </sheetViews>
  <sheetFormatPr defaultRowHeight="15" x14ac:dyDescent="0.25"/>
  <cols>
    <col min="2" max="2" width="43.140625" customWidth="1"/>
    <col min="3" max="3" width="32.140625" customWidth="1"/>
    <col min="4" max="4" width="39.140625" customWidth="1"/>
    <col min="5" max="5" width="113.85546875" customWidth="1"/>
  </cols>
  <sheetData>
    <row r="1" spans="1:5" ht="33" customHeight="1" x14ac:dyDescent="0.25">
      <c r="A1" s="7" t="s">
        <v>3</v>
      </c>
      <c r="B1" s="7" t="s">
        <v>4</v>
      </c>
      <c r="C1" s="8" t="s">
        <v>5</v>
      </c>
      <c r="D1" s="8" t="s">
        <v>6</v>
      </c>
      <c r="E1" s="6" t="s">
        <v>73</v>
      </c>
    </row>
    <row r="2" spans="1:5" ht="15.75" x14ac:dyDescent="0.25">
      <c r="A2" s="11" t="s">
        <v>7</v>
      </c>
      <c r="B2" s="2">
        <v>5.1214545454545454E-3</v>
      </c>
      <c r="C2" s="3">
        <v>1.9417618810196375</v>
      </c>
      <c r="D2" s="2">
        <f>B2*C2</f>
        <v>9.9446452117383909E-3</v>
      </c>
      <c r="E2" s="10" t="s">
        <v>49</v>
      </c>
    </row>
    <row r="3" spans="1:5" ht="15.75" x14ac:dyDescent="0.25">
      <c r="A3" s="11" t="s">
        <v>8</v>
      </c>
      <c r="B3" s="2">
        <v>6.0154545454545461E-3</v>
      </c>
      <c r="C3" s="3">
        <v>1.0016129121308661</v>
      </c>
      <c r="D3" s="2">
        <f t="shared" ref="D3:D25" si="0">B3*C3</f>
        <v>6.0251569450635832E-3</v>
      </c>
      <c r="E3" s="10" t="s">
        <v>50</v>
      </c>
    </row>
    <row r="4" spans="1:5" ht="15.75" x14ac:dyDescent="0.25">
      <c r="A4" s="11" t="s">
        <v>9</v>
      </c>
      <c r="B4" s="2">
        <v>1.6768181818181817E-2</v>
      </c>
      <c r="C4" s="3">
        <v>0.84395533306121839</v>
      </c>
      <c r="D4" s="2">
        <f t="shared" si="0"/>
        <v>1.4151596471194702E-2</v>
      </c>
      <c r="E4" s="10" t="s">
        <v>51</v>
      </c>
    </row>
    <row r="5" spans="1:5" ht="15.75" x14ac:dyDescent="0.25">
      <c r="A5" s="11" t="s">
        <v>10</v>
      </c>
      <c r="B5" s="2">
        <v>1.9692727272727275E-3</v>
      </c>
      <c r="C5" s="3">
        <v>0.63758948853496211</v>
      </c>
      <c r="D5" s="2">
        <f t="shared" si="0"/>
        <v>1.2555875909676683E-3</v>
      </c>
      <c r="E5" s="10" t="s">
        <v>52</v>
      </c>
    </row>
    <row r="6" spans="1:5" ht="15.75" x14ac:dyDescent="0.25">
      <c r="A6" s="11" t="s">
        <v>11</v>
      </c>
      <c r="B6" s="2">
        <v>5.9909090909090909E-5</v>
      </c>
      <c r="C6" s="3">
        <v>0.55508792593878276</v>
      </c>
      <c r="D6" s="4">
        <f t="shared" si="0"/>
        <v>3.3254813017605256E-5</v>
      </c>
      <c r="E6" s="10" t="s">
        <v>53</v>
      </c>
    </row>
    <row r="7" spans="1:5" ht="15.75" x14ac:dyDescent="0.25">
      <c r="A7" s="1" t="s">
        <v>12</v>
      </c>
      <c r="B7" s="2">
        <v>1.6405454545454544E-3</v>
      </c>
      <c r="C7" s="3">
        <v>2.7260017064122684</v>
      </c>
      <c r="D7" s="2">
        <f t="shared" si="0"/>
        <v>4.4721297085377988E-3</v>
      </c>
      <c r="E7" s="5" t="s">
        <v>54</v>
      </c>
    </row>
    <row r="8" spans="1:5" ht="15.75" x14ac:dyDescent="0.25">
      <c r="A8" s="1" t="s">
        <v>13</v>
      </c>
      <c r="B8" s="2">
        <v>3.8973636363636363E-3</v>
      </c>
      <c r="C8" s="3">
        <v>0.66495433888456978</v>
      </c>
      <c r="D8" s="2">
        <f t="shared" si="0"/>
        <v>2.5915688602109448E-3</v>
      </c>
      <c r="E8" s="5" t="s">
        <v>55</v>
      </c>
    </row>
    <row r="9" spans="1:5" ht="15.75" x14ac:dyDescent="0.25">
      <c r="A9" s="1" t="s">
        <v>14</v>
      </c>
      <c r="B9" s="2">
        <v>4.2129280303030313E-3</v>
      </c>
      <c r="C9" s="3">
        <v>0.56831412901098244</v>
      </c>
      <c r="D9" s="2">
        <f t="shared" si="0"/>
        <v>2.394266524127621E-3</v>
      </c>
      <c r="E9" s="5" t="s">
        <v>56</v>
      </c>
    </row>
    <row r="10" spans="1:5" ht="15.75" x14ac:dyDescent="0.25">
      <c r="A10" s="1" t="s">
        <v>15</v>
      </c>
      <c r="B10" s="2">
        <v>4.2129280303030313E-3</v>
      </c>
      <c r="C10" s="3">
        <v>0.57630991350306371</v>
      </c>
      <c r="D10" s="2">
        <f t="shared" si="0"/>
        <v>2.4279521887385727E-3</v>
      </c>
      <c r="E10" s="5" t="s">
        <v>57</v>
      </c>
    </row>
    <row r="11" spans="1:5" ht="15.75" x14ac:dyDescent="0.25">
      <c r="A11" s="11" t="s">
        <v>16</v>
      </c>
      <c r="B11" s="2">
        <v>7.2415454545454554E-3</v>
      </c>
      <c r="C11" s="3">
        <v>0.51446251848904834</v>
      </c>
      <c r="D11" s="2">
        <f t="shared" si="0"/>
        <v>3.7255037122983755E-3</v>
      </c>
      <c r="E11" s="10" t="s">
        <v>58</v>
      </c>
    </row>
    <row r="12" spans="1:5" ht="15.75" x14ac:dyDescent="0.25">
      <c r="A12" s="11" t="s">
        <v>17</v>
      </c>
      <c r="B12" s="2">
        <v>7.4558181818181824E-3</v>
      </c>
      <c r="C12" s="3">
        <v>0.67120553421224383</v>
      </c>
      <c r="D12" s="2">
        <f t="shared" si="0"/>
        <v>5.0043864257166334E-3</v>
      </c>
      <c r="E12" s="10" t="s">
        <v>59</v>
      </c>
    </row>
    <row r="13" spans="1:5" ht="15.75" x14ac:dyDescent="0.25">
      <c r="A13" s="11" t="s">
        <v>18</v>
      </c>
      <c r="B13" s="2">
        <v>6.7094545454545454E-3</v>
      </c>
      <c r="C13" s="3">
        <v>0.6354057394571353</v>
      </c>
      <c r="D13" s="2">
        <f t="shared" si="0"/>
        <v>4.2632259268085828E-3</v>
      </c>
      <c r="E13" s="10" t="s">
        <v>60</v>
      </c>
    </row>
    <row r="14" spans="1:5" ht="15.75" x14ac:dyDescent="0.25">
      <c r="A14" s="11" t="s">
        <v>19</v>
      </c>
      <c r="B14" s="2">
        <v>4.2129280303030313E-3</v>
      </c>
      <c r="C14" s="3">
        <v>0.69191984353784486</v>
      </c>
      <c r="D14" s="2">
        <f t="shared" si="0"/>
        <v>2.9150085035634745E-3</v>
      </c>
      <c r="E14" s="10" t="s">
        <v>61</v>
      </c>
    </row>
    <row r="15" spans="1:5" ht="15.75" x14ac:dyDescent="0.25">
      <c r="A15" s="11" t="s">
        <v>20</v>
      </c>
      <c r="B15" s="2">
        <v>4.2129280303030313E-3</v>
      </c>
      <c r="C15" s="3">
        <v>0.58803743781203888</v>
      </c>
      <c r="D15" s="2">
        <f t="shared" si="0"/>
        <v>2.4773594046259141E-3</v>
      </c>
      <c r="E15" s="10" t="s">
        <v>62</v>
      </c>
    </row>
    <row r="16" spans="1:5" ht="15.75" x14ac:dyDescent="0.25">
      <c r="A16" s="11" t="s">
        <v>21</v>
      </c>
      <c r="B16" s="2">
        <v>1.0012090909090908E-2</v>
      </c>
      <c r="C16" s="3">
        <v>0.45844959957754089</v>
      </c>
      <c r="D16" s="2">
        <f t="shared" si="0"/>
        <v>4.590039068206664E-3</v>
      </c>
      <c r="E16" s="10" t="s">
        <v>63</v>
      </c>
    </row>
    <row r="17" spans="1:5" ht="15.75" x14ac:dyDescent="0.25">
      <c r="A17" s="11" t="s">
        <v>22</v>
      </c>
      <c r="B17" s="2">
        <v>6.3513636363636359E-3</v>
      </c>
      <c r="C17" s="3">
        <v>0.76999452731168816</v>
      </c>
      <c r="D17" s="2">
        <f t="shared" si="0"/>
        <v>4.8905152409664627E-3</v>
      </c>
      <c r="E17" s="10" t="s">
        <v>64</v>
      </c>
    </row>
    <row r="18" spans="1:5" ht="15.75" x14ac:dyDescent="0.25">
      <c r="A18" s="1" t="s">
        <v>23</v>
      </c>
      <c r="B18" s="2">
        <v>6.097E-3</v>
      </c>
      <c r="C18" s="3">
        <v>0.74282493319849163</v>
      </c>
      <c r="D18" s="2">
        <f t="shared" si="0"/>
        <v>4.5290036177112036E-3</v>
      </c>
      <c r="E18" s="12" t="s">
        <v>65</v>
      </c>
    </row>
    <row r="19" spans="1:5" ht="15.75" x14ac:dyDescent="0.25">
      <c r="A19" s="1" t="s">
        <v>24</v>
      </c>
      <c r="B19" s="2">
        <v>6.4024545454545454E-3</v>
      </c>
      <c r="C19" s="3">
        <v>1.0573189775275054</v>
      </c>
      <c r="D19" s="2">
        <f t="shared" si="0"/>
        <v>6.7694366936663294E-3</v>
      </c>
      <c r="E19" s="12" t="s">
        <v>66</v>
      </c>
    </row>
    <row r="20" spans="1:5" ht="15.75" x14ac:dyDescent="0.25">
      <c r="A20" s="1" t="s">
        <v>25</v>
      </c>
      <c r="B20" s="2">
        <v>1.5466363636363637E-3</v>
      </c>
      <c r="C20" s="3">
        <v>0.70232286771688646</v>
      </c>
      <c r="D20" s="2">
        <f t="shared" si="0"/>
        <v>1.0862380862243083E-3</v>
      </c>
      <c r="E20" s="12" t="s">
        <v>67</v>
      </c>
    </row>
    <row r="21" spans="1:5" ht="15.75" x14ac:dyDescent="0.25">
      <c r="A21" s="1" t="s">
        <v>26</v>
      </c>
      <c r="B21" s="2">
        <v>7.4235454545454544E-3</v>
      </c>
      <c r="C21" s="3">
        <v>0.49248554913294795</v>
      </c>
      <c r="D21" s="2">
        <f t="shared" si="0"/>
        <v>3.655988859695218E-3</v>
      </c>
      <c r="E21" s="12" t="s">
        <v>68</v>
      </c>
    </row>
    <row r="22" spans="1:5" ht="15.75" x14ac:dyDescent="0.25">
      <c r="A22" s="11" t="s">
        <v>27</v>
      </c>
      <c r="B22" s="2">
        <v>1.4209090909090909E-3</v>
      </c>
      <c r="C22" s="3">
        <v>0.74125608599220849</v>
      </c>
      <c r="D22" s="2">
        <f t="shared" si="0"/>
        <v>1.0532575112780199E-3</v>
      </c>
      <c r="E22" s="10" t="s">
        <v>69</v>
      </c>
    </row>
    <row r="23" spans="1:5" ht="15.75" x14ac:dyDescent="0.25">
      <c r="A23" s="11" t="s">
        <v>28</v>
      </c>
      <c r="B23" s="2">
        <v>4.5958181818181818E-3</v>
      </c>
      <c r="C23" s="3">
        <v>0.5052033825077471</v>
      </c>
      <c r="D23" s="2">
        <f t="shared" si="0"/>
        <v>2.3218228908451497E-3</v>
      </c>
      <c r="E23" s="10" t="s">
        <v>70</v>
      </c>
    </row>
    <row r="24" spans="1:5" ht="15.75" x14ac:dyDescent="0.25">
      <c r="A24" s="11" t="s">
        <v>29</v>
      </c>
      <c r="B24" s="2">
        <v>4.2129280303030313E-3</v>
      </c>
      <c r="C24" s="3">
        <v>0.39453960985144232</v>
      </c>
      <c r="D24" s="2">
        <f t="shared" si="0"/>
        <v>1.6621669814079632E-3</v>
      </c>
      <c r="E24" s="10" t="s">
        <v>71</v>
      </c>
    </row>
    <row r="25" spans="1:5" ht="15.75" x14ac:dyDescent="0.25">
      <c r="A25" s="1" t="s">
        <v>30</v>
      </c>
      <c r="B25" s="2">
        <v>3.8145454545454545E-4</v>
      </c>
      <c r="C25" s="3">
        <f>AVERAGE(C2:C24)</f>
        <v>0.80352235803570093</v>
      </c>
      <c r="D25" s="2">
        <f>B25*C25</f>
        <v>3.0650725584707283E-4</v>
      </c>
      <c r="E25" s="12" t="s">
        <v>72</v>
      </c>
    </row>
  </sheetData>
  <conditionalFormatting sqref="B2:B2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2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Классификация</vt:lpstr>
      <vt:lpstr>Веса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Васильев</dc:creator>
  <cp:lastModifiedBy>Сергей Васильев</cp:lastModifiedBy>
  <dcterms:created xsi:type="dcterms:W3CDTF">2024-07-18T03:17:22Z</dcterms:created>
  <dcterms:modified xsi:type="dcterms:W3CDTF">2024-07-18T03:47:10Z</dcterms:modified>
</cp:coreProperties>
</file>